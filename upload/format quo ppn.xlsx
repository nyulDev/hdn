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OneDrive\Documents\Haluan\"/>
    </mc:Choice>
  </mc:AlternateContent>
  <xr:revisionPtr revIDLastSave="0" documentId="8_{EF54CC1F-5833-4735-A776-F873F85E6B46}" xr6:coauthVersionLast="47" xr6:coauthVersionMax="47" xr10:uidLastSave="{00000000-0000-0000-0000-000000000000}"/>
  <bookViews>
    <workbookView xWindow="16875" yWindow="1155" windowWidth="23730" windowHeight="20160" xr2:uid="{315E196F-B6EB-43C8-A5DF-BBDC0C8E80B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" l="1"/>
  <c r="Q35" i="1"/>
  <c r="Q33" i="1"/>
  <c r="Q31" i="1"/>
  <c r="Q29" i="1"/>
  <c r="Q26" i="1"/>
  <c r="Q54" i="1" s="1"/>
  <c r="C18" i="1"/>
  <c r="C17" i="1"/>
  <c r="Q55" i="1" l="1"/>
  <c r="Q56" i="1" s="1"/>
  <c r="Q57" i="1" l="1"/>
  <c r="Q58" i="1" s="1"/>
</calcChain>
</file>

<file path=xl/sharedStrings.xml><?xml version="1.0" encoding="utf-8"?>
<sst xmlns="http://schemas.openxmlformats.org/spreadsheetml/2006/main" count="85" uniqueCount="75">
  <si>
    <r>
      <rPr>
        <b/>
        <sz val="28"/>
        <color indexed="17"/>
        <rFont val="Cambria"/>
        <family val="1"/>
      </rPr>
      <t>H</t>
    </r>
    <r>
      <rPr>
        <b/>
        <sz val="24"/>
        <color indexed="62"/>
        <rFont val="Cambria"/>
        <family val="1"/>
      </rPr>
      <t>ALUAN</t>
    </r>
    <r>
      <rPr>
        <b/>
        <sz val="24"/>
        <color indexed="17"/>
        <rFont val="Cambria"/>
        <family val="1"/>
      </rPr>
      <t xml:space="preserve"> </t>
    </r>
    <r>
      <rPr>
        <b/>
        <sz val="28"/>
        <color indexed="17"/>
        <rFont val="Cambria"/>
        <family val="1"/>
      </rPr>
      <t>D</t>
    </r>
    <r>
      <rPr>
        <b/>
        <sz val="24"/>
        <color indexed="62"/>
        <rFont val="Cambria"/>
        <family val="1"/>
      </rPr>
      <t>AYA</t>
    </r>
    <r>
      <rPr>
        <b/>
        <sz val="24"/>
        <color indexed="17"/>
        <rFont val="Cambria"/>
        <family val="1"/>
      </rPr>
      <t xml:space="preserve"> </t>
    </r>
    <r>
      <rPr>
        <b/>
        <sz val="28"/>
        <color indexed="17"/>
        <rFont val="Cambria"/>
        <family val="1"/>
      </rPr>
      <t>N</t>
    </r>
    <r>
      <rPr>
        <b/>
        <sz val="24"/>
        <color indexed="62"/>
        <rFont val="Cambria"/>
        <family val="1"/>
      </rPr>
      <t>IAGA, PT.</t>
    </r>
  </si>
  <si>
    <t>w  w  w  .  h  a  l  u  a  n  - g  r  o  u  p  .  c  o  m</t>
  </si>
  <si>
    <t>N P W P :   7  3  .  1  2  1  .  4  5  3  .  2  –  0  1  2  .  0  0  0</t>
  </si>
  <si>
    <t>Gd. One Pacific Place, Level 11-SCBD</t>
  </si>
  <si>
    <t>Workshop:</t>
  </si>
  <si>
    <t>Jl. Jend. Sudirman Kav. 52-53, Jak-Sel 12190</t>
  </si>
  <si>
    <t>1. Cinere Residence H1 No. 5</t>
  </si>
  <si>
    <t>Ph./Fax. 021-21275897-7536093 ; HP/WA: 0811-821723</t>
  </si>
  <si>
    <t xml:space="preserve">    Depok Meruyung-Jawa Barat 16515</t>
  </si>
  <si>
    <t xml:space="preserve">E-mail: </t>
  </si>
  <si>
    <t xml:space="preserve">sales@haluan.id  </t>
  </si>
  <si>
    <t xml:space="preserve">2. Swasembada Timur 24 No. 11 - C </t>
  </si>
  <si>
    <t>Q U O T A T I O N</t>
  </si>
  <si>
    <t xml:space="preserve">haluan.group@yahoo.co.id </t>
  </si>
  <si>
    <t xml:space="preserve">    Kebon Bawang-Jakarta Utara 14320</t>
  </si>
  <si>
    <t>QUOTE TO:</t>
  </si>
  <si>
    <t>NO</t>
  </si>
  <si>
    <t>:</t>
  </si>
  <si>
    <t>0125-PH-HTU-2026</t>
  </si>
  <si>
    <t>CUSTOMER ID</t>
  </si>
  <si>
    <t>005</t>
  </si>
  <si>
    <t>PT. ADNYANA</t>
  </si>
  <si>
    <t>DATE</t>
  </si>
  <si>
    <t>Attn. Bpk. Defandra / Ibu Linda</t>
  </si>
  <si>
    <t>PAGE</t>
  </si>
  <si>
    <t>SUBJECT</t>
  </si>
  <si>
    <t>Engine Spareparts</t>
  </si>
  <si>
    <t>SUPPLY LOCATION</t>
  </si>
  <si>
    <t>Jakarta</t>
  </si>
  <si>
    <t>No</t>
  </si>
  <si>
    <t>P/N</t>
  </si>
  <si>
    <t>Description</t>
  </si>
  <si>
    <t>QTY</t>
  </si>
  <si>
    <t>Unit Price</t>
  </si>
  <si>
    <t>Amount</t>
  </si>
  <si>
    <t>MAIN COOLING FW PUMP</t>
  </si>
  <si>
    <t>TYPE: 150-CSB7-4F</t>
  </si>
  <si>
    <t>3/150-CSB7-4F</t>
  </si>
  <si>
    <t>IMPELLER</t>
  </si>
  <si>
    <t>PC</t>
  </si>
  <si>
    <t>*) OD = 260 mm, please check</t>
  </si>
  <si>
    <t>5/150-CSB7-4F</t>
  </si>
  <si>
    <t>PUMP SHAFT</t>
  </si>
  <si>
    <t>30/150-CSB7-4F</t>
  </si>
  <si>
    <t>MOUTH RING</t>
  </si>
  <si>
    <t xml:space="preserve"> 361/150-CSB7-4F</t>
  </si>
  <si>
    <t>IMPELLER KEY</t>
  </si>
  <si>
    <t>401/150-CSB7-4F</t>
  </si>
  <si>
    <t>O RING (CASING)</t>
  </si>
  <si>
    <t>37/150-CSB7-4F</t>
  </si>
  <si>
    <t>MACHANICAL SEAL</t>
  </si>
  <si>
    <t>*) Please provide code book or physical photo</t>
  </si>
  <si>
    <t>Note:</t>
  </si>
  <si>
    <t>a. OEM Parts</t>
  </si>
  <si>
    <t>b. Weight est.: 35-37 kgs</t>
  </si>
  <si>
    <t>c. Price only for full order</t>
  </si>
  <si>
    <t>a. Delivery</t>
  </si>
  <si>
    <t>: 30-35 working days after confirmation order</t>
  </si>
  <si>
    <t>b. Price</t>
  </si>
  <si>
    <t>: Jakarta excl. service boat and permit</t>
  </si>
  <si>
    <t>c. Payment</t>
  </si>
  <si>
    <t>: 30 calender days after delivery</t>
  </si>
  <si>
    <t>d. Stock Validity</t>
  </si>
  <si>
    <t>: Not binding</t>
  </si>
  <si>
    <t>e. Price Validity</t>
  </si>
  <si>
    <t>: 3 calender days</t>
  </si>
  <si>
    <t xml:space="preserve">Sub Total : </t>
  </si>
  <si>
    <t>Discount</t>
  </si>
  <si>
    <t xml:space="preserve">: </t>
  </si>
  <si>
    <t>Association Member:</t>
  </si>
  <si>
    <t xml:space="preserve">Total after discount : </t>
  </si>
  <si>
    <t xml:space="preserve">PPN 11% : </t>
  </si>
  <si>
    <t xml:space="preserve">TOTAL (IDR) : </t>
  </si>
  <si>
    <r>
      <rPr>
        <b/>
        <sz val="10"/>
        <color indexed="62"/>
        <rFont val="Verdana"/>
        <family val="2"/>
      </rPr>
      <t xml:space="preserve">PT. </t>
    </r>
    <r>
      <rPr>
        <b/>
        <sz val="10"/>
        <color indexed="17"/>
        <rFont val="Verdana"/>
        <family val="2"/>
      </rPr>
      <t>H</t>
    </r>
    <r>
      <rPr>
        <b/>
        <sz val="10"/>
        <color indexed="62"/>
        <rFont val="Verdana"/>
        <family val="2"/>
      </rPr>
      <t>ALUAN</t>
    </r>
    <r>
      <rPr>
        <b/>
        <sz val="10"/>
        <rFont val="Verdana"/>
        <family val="2"/>
      </rPr>
      <t xml:space="preserve"> </t>
    </r>
    <r>
      <rPr>
        <b/>
        <sz val="10"/>
        <color indexed="17"/>
        <rFont val="Verdana"/>
        <family val="2"/>
      </rPr>
      <t>D</t>
    </r>
    <r>
      <rPr>
        <b/>
        <sz val="10"/>
        <color indexed="62"/>
        <rFont val="Verdana"/>
        <family val="2"/>
      </rPr>
      <t xml:space="preserve">AYA </t>
    </r>
    <r>
      <rPr>
        <b/>
        <sz val="10"/>
        <color indexed="17"/>
        <rFont val="Verdana"/>
        <family val="2"/>
      </rPr>
      <t>N</t>
    </r>
    <r>
      <rPr>
        <b/>
        <sz val="10"/>
        <color indexed="62"/>
        <rFont val="Verdana"/>
        <family val="2"/>
      </rPr>
      <t>IAGA</t>
    </r>
  </si>
  <si>
    <t>I R F 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</si>
</sst>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ddd&quot;, &quot;mmm\ d&quot;, &quot;yy"/>
    <numFmt numFmtId="165" formatCode="ddd\,\ d\ mmm\ yyyy"/>
    <numFmt numFmtId="166" formatCode="#,##0;&quot;-&quot;#,##0"/>
  </numFmts>
  <fonts count="3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Verdana"/>
      <family val="2"/>
    </font>
    <font>
      <sz val="10"/>
      <color indexed="12"/>
      <name val="Verdana"/>
      <family val="2"/>
    </font>
    <font>
      <b/>
      <sz val="28"/>
      <color indexed="10"/>
      <name val="Cambria"/>
      <family val="1"/>
    </font>
    <font>
      <b/>
      <sz val="28"/>
      <color indexed="17"/>
      <name val="Cambria"/>
      <family val="1"/>
    </font>
    <font>
      <b/>
      <sz val="24"/>
      <color indexed="62"/>
      <name val="Cambria"/>
      <family val="1"/>
    </font>
    <font>
      <b/>
      <sz val="24"/>
      <color indexed="17"/>
      <name val="Cambria"/>
      <family val="1"/>
    </font>
    <font>
      <b/>
      <sz val="18"/>
      <color indexed="12"/>
      <name val="Verdana"/>
      <family val="2"/>
    </font>
    <font>
      <b/>
      <i/>
      <u/>
      <sz val="14"/>
      <color indexed="10"/>
      <name val="Verdana"/>
      <family val="2"/>
    </font>
    <font>
      <b/>
      <i/>
      <sz val="10"/>
      <color rgb="FF00B050"/>
      <name val="Verdana"/>
      <family val="2"/>
    </font>
    <font>
      <b/>
      <i/>
      <sz val="10"/>
      <name val="Verdana"/>
      <family val="2"/>
    </font>
    <font>
      <sz val="8"/>
      <name val="Verdana"/>
      <family val="2"/>
      <charset val="1"/>
    </font>
    <font>
      <sz val="9"/>
      <name val="Verdana"/>
      <family val="2"/>
    </font>
    <font>
      <u/>
      <sz val="9"/>
      <name val="Verdana"/>
      <family val="2"/>
    </font>
    <font>
      <sz val="11"/>
      <name val="Verdana"/>
      <family val="2"/>
    </font>
    <font>
      <u/>
      <sz val="9"/>
      <color theme="10"/>
      <name val="Verdana"/>
      <family val="2"/>
    </font>
    <font>
      <b/>
      <i/>
      <sz val="14"/>
      <color indexed="10"/>
      <name val="Verdana"/>
      <family val="2"/>
    </font>
    <font>
      <sz val="12"/>
      <name val="Times New Roman"/>
      <family val="1"/>
    </font>
    <font>
      <sz val="10"/>
      <name val="Courier New"/>
      <family val="3"/>
    </font>
    <font>
      <b/>
      <sz val="10"/>
      <name val="Verdana"/>
      <family val="2"/>
    </font>
    <font>
      <b/>
      <sz val="11"/>
      <name val="Verdana"/>
      <family val="2"/>
    </font>
    <font>
      <sz val="11"/>
      <color rgb="FF000000"/>
      <name val="Verdana"/>
      <family val="2"/>
    </font>
    <font>
      <i/>
      <sz val="11"/>
      <color rgb="FFFF0000"/>
      <name val="Verdana"/>
      <family val="2"/>
    </font>
    <font>
      <i/>
      <sz val="10"/>
      <color rgb="FFFF0000"/>
      <name val="Verdana"/>
      <family val="2"/>
    </font>
    <font>
      <sz val="11"/>
      <color rgb="FFFF0000"/>
      <name val="Verdana"/>
      <family val="2"/>
    </font>
    <font>
      <b/>
      <sz val="11"/>
      <color rgb="FFFF0000"/>
      <name val="Verdana"/>
      <family val="2"/>
    </font>
    <font>
      <sz val="10"/>
      <color indexed="8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indexed="62"/>
      <name val="Verdana"/>
      <family val="2"/>
    </font>
    <font>
      <b/>
      <sz val="10"/>
      <color indexed="17"/>
      <name val="Verdana"/>
      <family val="2"/>
    </font>
    <font>
      <b/>
      <u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hair">
        <color rgb="FFFF0000"/>
      </top>
      <bottom style="hair">
        <color rgb="FFFF0000"/>
      </bottom>
      <diagonal/>
    </border>
    <border>
      <left style="hair">
        <color rgb="FFFF0000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indexed="64"/>
      </left>
      <right/>
      <top/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rgb="FF000000"/>
      </bottom>
      <diagonal/>
    </border>
    <border>
      <left/>
      <right/>
      <top style="hair">
        <color indexed="8"/>
      </top>
      <bottom style="hair">
        <color rgb="FF000000"/>
      </bottom>
      <diagonal/>
    </border>
    <border>
      <left/>
      <right style="hair">
        <color indexed="8"/>
      </right>
      <top style="hair">
        <color indexed="8"/>
      </top>
      <bottom style="hair">
        <color rgb="FF000000"/>
      </bottom>
      <diagonal/>
    </border>
    <border>
      <left style="hair">
        <color indexed="8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/>
      <top style="hair">
        <color rgb="FF000000"/>
      </top>
      <bottom style="hair">
        <color indexed="8"/>
      </bottom>
      <diagonal/>
    </border>
    <border>
      <left/>
      <right/>
      <top style="hair">
        <color rgb="FF000000"/>
      </top>
      <bottom style="hair">
        <color indexed="8"/>
      </bottom>
      <diagonal/>
    </border>
    <border>
      <left/>
      <right style="hair">
        <color indexed="8"/>
      </right>
      <top style="hair">
        <color rgb="FF000000"/>
      </top>
      <bottom style="hair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5" fillId="0" borderId="0" xfId="0" applyFont="1"/>
    <xf numFmtId="4" fontId="15" fillId="0" borderId="0" xfId="0" applyNumberFormat="1" applyFont="1" applyAlignment="1">
      <alignment vertical="center"/>
    </xf>
    <xf numFmtId="0" fontId="13" fillId="0" borderId="2" xfId="0" applyFont="1" applyBorder="1" applyAlignment="1">
      <alignment horizontal="left" vertical="center"/>
    </xf>
    <xf numFmtId="4" fontId="15" fillId="0" borderId="0" xfId="0" applyNumberFormat="1" applyFont="1"/>
    <xf numFmtId="3" fontId="15" fillId="0" borderId="0" xfId="0" applyNumberFormat="1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1" applyFont="1"/>
    <xf numFmtId="0" fontId="16" fillId="0" borderId="0" xfId="1" applyFont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/>
    <xf numFmtId="3" fontId="19" fillId="0" borderId="0" xfId="0" applyNumberFormat="1" applyFont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/>
    <xf numFmtId="0" fontId="2" fillId="0" borderId="8" xfId="0" applyFont="1" applyBorder="1"/>
    <xf numFmtId="0" fontId="2" fillId="0" borderId="7" xfId="0" applyFont="1" applyBorder="1"/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65" fontId="2" fillId="0" borderId="8" xfId="0" applyNumberFormat="1" applyFont="1" applyBorder="1" applyAlignment="1">
      <alignment horizontal="left"/>
    </xf>
    <xf numFmtId="0" fontId="2" fillId="0" borderId="8" xfId="0" applyFont="1" applyBorder="1"/>
    <xf numFmtId="0" fontId="2" fillId="0" borderId="8" xfId="0" applyFont="1" applyBorder="1" applyAlignment="1">
      <alignment horizontal="left"/>
    </xf>
    <xf numFmtId="4" fontId="2" fillId="0" borderId="9" xfId="0" applyNumberFormat="1" applyFont="1" applyBorder="1"/>
    <xf numFmtId="0" fontId="2" fillId="0" borderId="10" xfId="0" applyFont="1" applyBorder="1"/>
    <xf numFmtId="4" fontId="2" fillId="0" borderId="0" xfId="0" applyNumberFormat="1" applyFont="1"/>
    <xf numFmtId="4" fontId="2" fillId="0" borderId="11" xfId="0" applyNumberFormat="1" applyFont="1" applyBorder="1" applyAlignment="1">
      <alignment horizontal="left"/>
    </xf>
    <xf numFmtId="4" fontId="2" fillId="0" borderId="11" xfId="0" applyNumberFormat="1" applyFont="1" applyBorder="1"/>
    <xf numFmtId="4" fontId="2" fillId="0" borderId="10" xfId="0" applyNumberFormat="1" applyFont="1" applyBorder="1" applyAlignment="1">
      <alignment horizontal="left"/>
    </xf>
    <xf numFmtId="4" fontId="20" fillId="3" borderId="3" xfId="0" applyNumberFormat="1" applyFont="1" applyFill="1" applyBorder="1" applyAlignment="1">
      <alignment horizontal="center"/>
    </xf>
    <xf numFmtId="4" fontId="20" fillId="3" borderId="3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3" fontId="2" fillId="0" borderId="5" xfId="0" applyNumberFormat="1" applyFont="1" applyBorder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21" fillId="0" borderId="14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5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22" fillId="0" borderId="15" xfId="0" applyFont="1" applyBorder="1" applyAlignment="1">
      <alignment horizontal="center"/>
    </xf>
    <xf numFmtId="3" fontId="15" fillId="0" borderId="14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15" xfId="0" applyNumberFormat="1" applyFont="1" applyBorder="1" applyAlignment="1">
      <alignment vertical="center"/>
    </xf>
    <xf numFmtId="166" fontId="22" fillId="0" borderId="14" xfId="0" applyNumberFormat="1" applyFont="1" applyBorder="1" applyAlignment="1">
      <alignment vertical="center"/>
    </xf>
    <xf numFmtId="166" fontId="22" fillId="0" borderId="0" xfId="0" applyNumberFormat="1" applyFont="1" applyAlignment="1">
      <alignment vertical="center"/>
    </xf>
    <xf numFmtId="166" fontId="22" fillId="0" borderId="15" xfId="0" applyNumberFormat="1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21" fillId="0" borderId="14" xfId="0" applyFont="1" applyBorder="1"/>
    <xf numFmtId="0" fontId="21" fillId="0" borderId="0" xfId="0" applyFont="1"/>
    <xf numFmtId="0" fontId="21" fillId="0" borderId="15" xfId="0" applyFont="1" applyBorder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41" fontId="15" fillId="0" borderId="0" xfId="0" applyNumberFormat="1" applyFont="1" applyAlignment="1">
      <alignment horizontal="center" vertical="center"/>
    </xf>
    <xf numFmtId="166" fontId="22" fillId="0" borderId="14" xfId="0" applyNumberFormat="1" applyFont="1" applyBorder="1" applyAlignment="1">
      <alignment horizontal="right" vertical="center"/>
    </xf>
    <xf numFmtId="166" fontId="22" fillId="0" borderId="0" xfId="0" applyNumberFormat="1" applyFont="1" applyAlignment="1">
      <alignment horizontal="right" vertical="center"/>
    </xf>
    <xf numFmtId="166" fontId="22" fillId="0" borderId="15" xfId="0" applyNumberFormat="1" applyFont="1" applyBorder="1" applyAlignment="1">
      <alignment horizontal="right" vertical="center"/>
    </xf>
    <xf numFmtId="1" fontId="15" fillId="0" borderId="0" xfId="0" applyNumberFormat="1" applyFont="1" applyAlignment="1">
      <alignment horizontal="center"/>
    </xf>
    <xf numFmtId="3" fontId="22" fillId="0" borderId="14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3" fontId="22" fillId="0" borderId="15" xfId="0" applyNumberFormat="1" applyFont="1" applyBorder="1" applyAlignment="1">
      <alignment horizontal="right" vertical="center"/>
    </xf>
    <xf numFmtId="14" fontId="15" fillId="0" borderId="14" xfId="0" quotePrefix="1" applyNumberFormat="1" applyFont="1" applyBorder="1" applyAlignment="1">
      <alignment horizontal="center"/>
    </xf>
    <xf numFmtId="0" fontId="15" fillId="0" borderId="14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5" xfId="0" applyFont="1" applyBorder="1" applyAlignment="1">
      <alignment horizontal="left"/>
    </xf>
    <xf numFmtId="3" fontId="15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0" fontId="23" fillId="0" borderId="14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5" xfId="0" applyFont="1" applyBorder="1" applyAlignment="1">
      <alignment horizontal="left"/>
    </xf>
    <xf numFmtId="4" fontId="15" fillId="0" borderId="14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5" fillId="0" borderId="15" xfId="0" applyNumberFormat="1" applyFont="1" applyBorder="1" applyAlignment="1">
      <alignment vertical="center"/>
    </xf>
    <xf numFmtId="4" fontId="15" fillId="0" borderId="14" xfId="0" applyNumberFormat="1" applyFont="1" applyBorder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24" fillId="0" borderId="0" xfId="0" applyFont="1"/>
    <xf numFmtId="0" fontId="25" fillId="0" borderId="14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5" xfId="0" applyFont="1" applyBorder="1" applyAlignment="1">
      <alignment horizontal="right"/>
    </xf>
    <xf numFmtId="9" fontId="25" fillId="0" borderId="0" xfId="0" applyNumberFormat="1" applyFont="1" applyAlignment="1">
      <alignment horizontal="center"/>
    </xf>
    <xf numFmtId="0" fontId="22" fillId="0" borderId="16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6" fillId="0" borderId="14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15" xfId="0" applyFont="1" applyBorder="1" applyAlignment="1">
      <alignment horizontal="right"/>
    </xf>
    <xf numFmtId="0" fontId="15" fillId="0" borderId="14" xfId="0" applyFont="1" applyBorder="1"/>
    <xf numFmtId="0" fontId="15" fillId="0" borderId="0" xfId="0" applyFont="1"/>
    <xf numFmtId="0" fontId="15" fillId="0" borderId="15" xfId="0" applyFont="1" applyBorder="1"/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7" fillId="0" borderId="17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3" fontId="2" fillId="0" borderId="14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39" fontId="2" fillId="0" borderId="14" xfId="0" applyNumberFormat="1" applyFont="1" applyBorder="1" applyAlignment="1">
      <alignment vertical="center"/>
    </xf>
    <xf numFmtId="39" fontId="2" fillId="0" borderId="0" xfId="0" applyNumberFormat="1" applyFont="1" applyAlignment="1">
      <alignment vertical="center"/>
    </xf>
    <xf numFmtId="39" fontId="2" fillId="0" borderId="15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8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left"/>
    </xf>
    <xf numFmtId="3" fontId="2" fillId="0" borderId="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39" fontId="2" fillId="0" borderId="7" xfId="0" applyNumberFormat="1" applyFont="1" applyBorder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4" fontId="2" fillId="0" borderId="7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2" fillId="0" borderId="8" xfId="0" applyNumberFormat="1" applyFont="1" applyBorder="1" applyAlignment="1">
      <alignment horizontal="right" vertical="center"/>
    </xf>
    <xf numFmtId="39" fontId="2" fillId="0" borderId="7" xfId="0" applyNumberFormat="1" applyFont="1" applyBorder="1" applyAlignment="1">
      <alignment horizontal="right" vertical="center"/>
    </xf>
    <xf numFmtId="39" fontId="2" fillId="0" borderId="0" xfId="0" applyNumberFormat="1" applyFont="1" applyAlignment="1">
      <alignment horizontal="right" vertical="center"/>
    </xf>
    <xf numFmtId="39" fontId="2" fillId="0" borderId="8" xfId="0" applyNumberFormat="1" applyFont="1" applyBorder="1" applyAlignment="1">
      <alignment horizontal="right" vertical="center"/>
    </xf>
    <xf numFmtId="37" fontId="2" fillId="0" borderId="7" xfId="0" applyNumberFormat="1" applyFont="1" applyBorder="1" applyAlignment="1">
      <alignment vertical="center"/>
    </xf>
    <xf numFmtId="37" fontId="2" fillId="0" borderId="0" xfId="0" applyNumberFormat="1" applyFont="1" applyAlignment="1">
      <alignment vertical="center"/>
    </xf>
    <xf numFmtId="37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28" fillId="0" borderId="11" xfId="0" applyFont="1" applyBorder="1"/>
    <xf numFmtId="0" fontId="28" fillId="0" borderId="11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37" fontId="2" fillId="0" borderId="9" xfId="0" applyNumberFormat="1" applyFont="1" applyBorder="1" applyAlignment="1">
      <alignment vertical="center"/>
    </xf>
    <xf numFmtId="37" fontId="2" fillId="0" borderId="11" xfId="0" applyNumberFormat="1" applyFont="1" applyBorder="1" applyAlignment="1">
      <alignment vertical="center"/>
    </xf>
    <xf numFmtId="37" fontId="2" fillId="0" borderId="10" xfId="0" applyNumberFormat="1" applyFont="1" applyBorder="1" applyAlignment="1">
      <alignment vertical="center"/>
    </xf>
    <xf numFmtId="39" fontId="2" fillId="0" borderId="9" xfId="0" applyNumberFormat="1" applyFont="1" applyBorder="1" applyAlignment="1">
      <alignment vertical="center"/>
    </xf>
    <xf numFmtId="39" fontId="2" fillId="0" borderId="11" xfId="0" applyNumberFormat="1" applyFont="1" applyBorder="1" applyAlignment="1">
      <alignment vertical="center"/>
    </xf>
    <xf numFmtId="39" fontId="2" fillId="0" borderId="10" xfId="0" applyNumberFormat="1" applyFont="1" applyBorder="1" applyAlignment="1">
      <alignment vertical="center"/>
    </xf>
    <xf numFmtId="3" fontId="2" fillId="0" borderId="0" xfId="0" applyNumberFormat="1" applyFont="1"/>
    <xf numFmtId="0" fontId="29" fillId="0" borderId="0" xfId="0" applyFont="1"/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37" fontId="15" fillId="0" borderId="19" xfId="0" applyNumberFormat="1" applyFont="1" applyBorder="1" applyAlignment="1">
      <alignment vertical="center"/>
    </xf>
    <xf numFmtId="37" fontId="15" fillId="0" borderId="20" xfId="0" applyNumberFormat="1" applyFont="1" applyBorder="1" applyAlignment="1">
      <alignment vertical="center"/>
    </xf>
    <xf numFmtId="37" fontId="15" fillId="0" borderId="21" xfId="0" applyNumberFormat="1" applyFont="1" applyBorder="1" applyAlignment="1">
      <alignment vertical="center"/>
    </xf>
    <xf numFmtId="9" fontId="2" fillId="0" borderId="20" xfId="0" applyNumberFormat="1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9" fillId="0" borderId="0" xfId="0" applyFont="1" applyAlignment="1">
      <alignment vertical="center"/>
    </xf>
    <xf numFmtId="37" fontId="15" fillId="0" borderId="22" xfId="0" applyNumberFormat="1" applyFont="1" applyBorder="1" applyAlignment="1">
      <alignment vertical="center"/>
    </xf>
    <xf numFmtId="37" fontId="15" fillId="0" borderId="23" xfId="0" applyNumberFormat="1" applyFont="1" applyBorder="1" applyAlignment="1">
      <alignment vertical="center"/>
    </xf>
    <xf numFmtId="37" fontId="15" fillId="0" borderId="24" xfId="0" applyNumberFormat="1" applyFont="1" applyBorder="1" applyAlignment="1">
      <alignment vertical="center"/>
    </xf>
    <xf numFmtId="37" fontId="30" fillId="0" borderId="25" xfId="0" applyNumberFormat="1" applyFont="1" applyBorder="1" applyAlignment="1">
      <alignment horizontal="right" vertical="center"/>
    </xf>
    <xf numFmtId="37" fontId="30" fillId="0" borderId="26" xfId="0" applyNumberFormat="1" applyFont="1" applyBorder="1" applyAlignment="1">
      <alignment horizontal="right" vertical="center"/>
    </xf>
    <xf numFmtId="37" fontId="30" fillId="0" borderId="27" xfId="0" applyNumberFormat="1" applyFont="1" applyBorder="1" applyAlignment="1">
      <alignment horizontal="right" vertical="center"/>
    </xf>
    <xf numFmtId="0" fontId="20" fillId="0" borderId="19" xfId="0" applyFont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0" fillId="0" borderId="21" xfId="0" applyFont="1" applyBorder="1" applyAlignment="1">
      <alignment horizontal="right"/>
    </xf>
    <xf numFmtId="37" fontId="15" fillId="0" borderId="28" xfId="0" applyNumberFormat="1" applyFont="1" applyBorder="1" applyAlignment="1">
      <alignment vertical="center"/>
    </xf>
    <xf numFmtId="37" fontId="15" fillId="0" borderId="29" xfId="0" applyNumberFormat="1" applyFont="1" applyBorder="1" applyAlignment="1">
      <alignment vertical="center"/>
    </xf>
    <xf numFmtId="37" fontId="15" fillId="0" borderId="30" xfId="0" applyNumberFormat="1" applyFont="1" applyBorder="1" applyAlignment="1">
      <alignment vertical="center"/>
    </xf>
    <xf numFmtId="0" fontId="20" fillId="0" borderId="0" xfId="0" applyFont="1" applyAlignment="1">
      <alignment horizontal="right"/>
    </xf>
    <xf numFmtId="37" fontId="20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7" fillId="2" borderId="3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503705</xdr:colOff>
      <xdr:row>56</xdr:row>
      <xdr:rowOff>114300</xdr:rowOff>
    </xdr:from>
    <xdr:to>
      <xdr:col>3</xdr:col>
      <xdr:colOff>1375522</xdr:colOff>
      <xdr:row>59</xdr:row>
      <xdr:rowOff>168646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C97D48-73B1-4C89-AF8E-C34625F7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1955" y="9667875"/>
          <a:ext cx="871817" cy="625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56</xdr:row>
      <xdr:rowOff>152400</xdr:rowOff>
    </xdr:from>
    <xdr:to>
      <xdr:col>3</xdr:col>
      <xdr:colOff>147918</xdr:colOff>
      <xdr:row>59</xdr:row>
      <xdr:rowOff>149596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BD6AD1-2DD3-4750-8D96-2F7D8A25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705975"/>
          <a:ext cx="871818" cy="568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320489</xdr:colOff>
      <xdr:row>56</xdr:row>
      <xdr:rowOff>135592</xdr:rowOff>
    </xdr:from>
    <xdr:to>
      <xdr:col>9</xdr:col>
      <xdr:colOff>359149</xdr:colOff>
      <xdr:row>59</xdr:row>
      <xdr:rowOff>118781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B0123A-C79E-4AD2-9407-189F5F2FB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739" y="9689167"/>
          <a:ext cx="1181660" cy="554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503705</xdr:colOff>
      <xdr:row>56</xdr:row>
      <xdr:rowOff>114300</xdr:rowOff>
    </xdr:from>
    <xdr:to>
      <xdr:col>3</xdr:col>
      <xdr:colOff>1375522</xdr:colOff>
      <xdr:row>59</xdr:row>
      <xdr:rowOff>168646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FD3C89-83C9-4BC4-87A7-DE968376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1955" y="9667875"/>
          <a:ext cx="871817" cy="625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56</xdr:row>
      <xdr:rowOff>152400</xdr:rowOff>
    </xdr:from>
    <xdr:to>
      <xdr:col>3</xdr:col>
      <xdr:colOff>147918</xdr:colOff>
      <xdr:row>59</xdr:row>
      <xdr:rowOff>149596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DA52A0-491B-4EE5-A55B-BE9D3DD4D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705975"/>
          <a:ext cx="871818" cy="568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320489</xdr:colOff>
      <xdr:row>56</xdr:row>
      <xdr:rowOff>135592</xdr:rowOff>
    </xdr:from>
    <xdr:to>
      <xdr:col>9</xdr:col>
      <xdr:colOff>359149</xdr:colOff>
      <xdr:row>59</xdr:row>
      <xdr:rowOff>118781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340D6A-4C66-4291-9A90-B63B365E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739" y="9689167"/>
          <a:ext cx="1181660" cy="554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211977</xdr:colOff>
      <xdr:row>1</xdr:row>
      <xdr:rowOff>9522</xdr:rowOff>
    </xdr:from>
    <xdr:ext cx="1313181" cy="1307349"/>
    <xdr:pic>
      <xdr:nvPicPr>
        <xdr:cNvPr id="8" name="Picture 7">
          <a:extLst>
            <a:ext uri="{FF2B5EF4-FFF2-40B4-BE49-F238E27FC236}">
              <a16:creationId xmlns:a16="http://schemas.microsoft.com/office/drawing/2014/main" id="{495E01F4-9D02-4036-94FB-FD817E79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1077" y="142872"/>
          <a:ext cx="1313181" cy="130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us\AppData\Local\Packages\5319275A.WhatsAppDesktop_cv1g1gvanyjgm\LocalState\sessions\3112A1FBF50C9EE7D669F42B0E8552BD1AB3632A\transfers\2026-05\2026;%20format%20quo%20baru.xlsx" TargetMode="External"/><Relationship Id="rId1" Type="http://schemas.openxmlformats.org/officeDocument/2006/relationships/externalLinkPath" Target="file:///C:\Users\Victus\AppData\Local\Packages\5319275A.WhatsAppDesktop_cv1g1gvanyjgm\LocalState\sessions\3112A1FBF50C9EE7D669F42B0E8552BD1AB3632A\transfers\2026-05\2026;%20format%20quo%20ba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 PPn"/>
      <sheetName val="Inv"/>
      <sheetName val="TTB"/>
      <sheetName val="Modal"/>
      <sheetName val="Profit"/>
    </sheetNames>
    <sheetDataSet>
      <sheetData sheetId="0"/>
      <sheetData sheetId="1"/>
      <sheetData sheetId="2"/>
      <sheetData sheetId="3">
        <row r="7">
          <cell r="E7" t="str">
            <v>E-0017/AALI/XII/2025</v>
          </cell>
        </row>
        <row r="8">
          <cell r="E8" t="str">
            <v>MV. ANDHIKA ALISHA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haluan.id" TargetMode="External"/><Relationship Id="rId2" Type="http://schemas.openxmlformats.org/officeDocument/2006/relationships/hyperlink" Target="mailto:haluan.group@yahoo.co.id" TargetMode="External"/><Relationship Id="rId1" Type="http://schemas.openxmlformats.org/officeDocument/2006/relationships/hyperlink" Target="mailto:haluan.group@yahoo.co.i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C468-7A13-47CE-BCA9-1BD05865FBD8}">
  <dimension ref="A1:S64"/>
  <sheetViews>
    <sheetView tabSelected="1" workbookViewId="0">
      <selection activeCell="V5" sqref="V5"/>
    </sheetView>
  </sheetViews>
  <sheetFormatPr defaultRowHeight="15"/>
  <cols>
    <col min="1" max="1" width="1.5703125" customWidth="1"/>
    <col min="3" max="3" width="4.5703125" customWidth="1"/>
    <col min="4" max="4" width="24.85546875" customWidth="1"/>
    <col min="5" max="5" width="2" customWidth="1"/>
    <col min="6" max="6" width="3.140625" customWidth="1"/>
    <col min="7" max="7" width="2.140625" customWidth="1"/>
    <col min="8" max="8" width="8" customWidth="1"/>
    <col min="11" max="11" width="29.7109375" customWidth="1"/>
    <col min="18" max="18" width="5.5703125" customWidth="1"/>
    <col min="19" max="19" width="6" customWidth="1"/>
  </cols>
  <sheetData>
    <row r="1" spans="1:19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0">
      <c r="A2" s="1"/>
      <c r="B2" s="3" t="s">
        <v>0</v>
      </c>
      <c r="C2" s="3"/>
      <c r="D2" s="3"/>
      <c r="E2" s="3"/>
      <c r="F2" s="3"/>
      <c r="G2" s="3"/>
      <c r="H2" s="3"/>
      <c r="I2" s="3"/>
      <c r="J2" s="4"/>
      <c r="K2" s="5"/>
      <c r="L2" s="5"/>
      <c r="M2" s="5"/>
      <c r="O2" s="6"/>
      <c r="P2" s="6"/>
      <c r="Q2" s="6"/>
      <c r="R2" s="6"/>
      <c r="S2" s="6"/>
    </row>
    <row r="3" spans="1:19" ht="30">
      <c r="A3" s="1"/>
      <c r="B3" s="3"/>
      <c r="C3" s="3"/>
      <c r="D3" s="3"/>
      <c r="E3" s="3"/>
      <c r="F3" s="3"/>
      <c r="G3" s="3"/>
      <c r="H3" s="3"/>
      <c r="I3" s="3"/>
      <c r="J3" s="4"/>
      <c r="K3" s="5"/>
      <c r="L3" s="5"/>
      <c r="M3" s="5"/>
      <c r="N3" s="6"/>
      <c r="O3" s="6"/>
      <c r="Q3" s="6"/>
      <c r="R3" s="6"/>
      <c r="S3" s="6"/>
    </row>
    <row r="4" spans="1:19" ht="18">
      <c r="A4" s="1"/>
      <c r="B4" s="7" t="s">
        <v>1</v>
      </c>
      <c r="C4" s="7"/>
      <c r="D4" s="7"/>
      <c r="E4" s="7"/>
      <c r="F4" s="7"/>
      <c r="G4" s="7"/>
      <c r="H4" s="7"/>
      <c r="I4" s="7"/>
      <c r="J4" s="8"/>
      <c r="K4" s="8"/>
      <c r="L4" s="9"/>
      <c r="M4" s="9"/>
      <c r="N4" s="9"/>
      <c r="O4" s="9"/>
      <c r="P4" s="6"/>
      <c r="Q4" s="9"/>
      <c r="R4" s="9"/>
      <c r="S4" s="9"/>
    </row>
    <row r="5" spans="1:19">
      <c r="A5" s="1"/>
      <c r="B5" s="10" t="s">
        <v>2</v>
      </c>
      <c r="C5" s="10"/>
      <c r="D5" s="10"/>
      <c r="E5" s="10"/>
      <c r="F5" s="10"/>
      <c r="G5" s="10"/>
      <c r="H5" s="10"/>
      <c r="I5" s="10"/>
      <c r="J5" s="11"/>
      <c r="K5" s="11"/>
      <c r="L5" s="9"/>
      <c r="M5" s="9"/>
      <c r="N5" s="9"/>
      <c r="O5" s="9"/>
      <c r="P5" s="9"/>
      <c r="Q5" s="9"/>
      <c r="R5" s="9"/>
      <c r="S5" s="9"/>
    </row>
    <row r="6" spans="1:19">
      <c r="A6" s="1"/>
      <c r="B6" s="1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>
      <c r="A7" s="1"/>
      <c r="B7" s="13" t="s">
        <v>3</v>
      </c>
      <c r="C7" s="2"/>
      <c r="D7" s="9"/>
      <c r="E7" s="9"/>
      <c r="F7" s="9"/>
      <c r="G7" s="9"/>
      <c r="H7" s="1"/>
      <c r="I7" s="14" t="s">
        <v>4</v>
      </c>
      <c r="J7" s="1"/>
      <c r="K7" s="2"/>
      <c r="L7" s="2"/>
      <c r="M7" s="2"/>
      <c r="N7" s="2"/>
      <c r="O7" s="2"/>
      <c r="P7" s="2"/>
      <c r="Q7" s="2"/>
      <c r="R7" s="2"/>
      <c r="S7" s="2"/>
    </row>
    <row r="8" spans="1:19">
      <c r="A8" s="15"/>
      <c r="B8" s="13" t="s">
        <v>5</v>
      </c>
      <c r="C8" s="16"/>
      <c r="D8" s="2"/>
      <c r="E8" s="2"/>
      <c r="F8" s="2"/>
      <c r="G8" s="2"/>
      <c r="H8" s="15"/>
      <c r="I8" s="17" t="s">
        <v>6</v>
      </c>
      <c r="J8" s="15"/>
      <c r="K8" s="18"/>
      <c r="L8" s="18"/>
      <c r="M8" s="18"/>
      <c r="N8" s="18"/>
      <c r="O8" s="18"/>
      <c r="P8" s="18"/>
      <c r="Q8" s="19"/>
      <c r="R8" s="19"/>
      <c r="S8" s="19"/>
    </row>
    <row r="9" spans="1:19">
      <c r="A9" s="15"/>
      <c r="B9" s="13" t="s">
        <v>7</v>
      </c>
      <c r="C9" s="20"/>
      <c r="D9" s="16"/>
      <c r="E9" s="16"/>
      <c r="F9" s="16"/>
      <c r="G9" s="16"/>
      <c r="H9" s="1"/>
      <c r="I9" s="17" t="s">
        <v>8</v>
      </c>
      <c r="J9" s="15"/>
      <c r="K9" s="18"/>
      <c r="L9" s="18"/>
      <c r="M9" s="18"/>
      <c r="N9" s="18"/>
      <c r="O9" s="18"/>
      <c r="P9" s="18"/>
      <c r="Q9" s="19"/>
      <c r="R9" s="19"/>
      <c r="S9" s="19"/>
    </row>
    <row r="10" spans="1:19" ht="15" customHeight="1">
      <c r="A10" s="1"/>
      <c r="B10" s="21" t="s">
        <v>9</v>
      </c>
      <c r="C10" s="22" t="s">
        <v>10</v>
      </c>
      <c r="D10" s="2"/>
      <c r="E10" s="2"/>
      <c r="F10" s="2"/>
      <c r="G10" s="2"/>
      <c r="H10" s="1"/>
      <c r="I10" s="17" t="s">
        <v>11</v>
      </c>
      <c r="J10" s="2"/>
      <c r="K10" s="199"/>
      <c r="L10" s="200" t="s">
        <v>12</v>
      </c>
      <c r="M10" s="201"/>
      <c r="N10" s="201"/>
      <c r="O10" s="201"/>
      <c r="P10" s="201"/>
      <c r="Q10" s="201"/>
      <c r="R10" s="201"/>
      <c r="S10" s="202"/>
    </row>
    <row r="11" spans="1:19" ht="15" customHeight="1">
      <c r="A11" s="1"/>
      <c r="B11" s="21"/>
      <c r="C11" s="23" t="s">
        <v>13</v>
      </c>
      <c r="D11" s="2"/>
      <c r="E11" s="2"/>
      <c r="F11" s="2"/>
      <c r="G11" s="2"/>
      <c r="H11" s="1"/>
      <c r="I11" s="17" t="s">
        <v>14</v>
      </c>
      <c r="J11" s="2"/>
      <c r="K11" s="199"/>
      <c r="L11" s="203"/>
      <c r="M11" s="204"/>
      <c r="N11" s="204"/>
      <c r="O11" s="204"/>
      <c r="P11" s="204"/>
      <c r="Q11" s="204"/>
      <c r="R11" s="204"/>
      <c r="S11" s="205"/>
    </row>
    <row r="12" spans="1:19" ht="15.75">
      <c r="A12" s="24"/>
      <c r="B12" s="25"/>
      <c r="C12" s="25"/>
      <c r="D12" s="25"/>
      <c r="E12" s="25"/>
      <c r="F12" s="25"/>
      <c r="G12" s="25"/>
      <c r="H12" s="25"/>
      <c r="I12" s="25"/>
      <c r="J12" s="26"/>
      <c r="K12" s="26"/>
      <c r="L12" s="26"/>
      <c r="M12" s="26"/>
      <c r="N12" s="26"/>
      <c r="O12" s="26"/>
      <c r="P12" s="26"/>
      <c r="Q12" s="27"/>
      <c r="R12" s="27"/>
      <c r="S12" s="27"/>
    </row>
    <row r="13" spans="1:19">
      <c r="A13" s="1"/>
      <c r="B13" s="28" t="s">
        <v>15</v>
      </c>
      <c r="C13" s="29"/>
      <c r="D13" s="29"/>
      <c r="E13" s="29"/>
      <c r="F13" s="30"/>
      <c r="G13" s="29"/>
      <c r="H13" s="29"/>
      <c r="I13" s="31"/>
      <c r="J13" s="32"/>
      <c r="K13" s="33"/>
      <c r="L13" s="29" t="s">
        <v>16</v>
      </c>
      <c r="M13" s="34"/>
      <c r="N13" s="34"/>
      <c r="O13" s="30" t="s">
        <v>17</v>
      </c>
      <c r="P13" s="35" t="s">
        <v>18</v>
      </c>
      <c r="Q13" s="35"/>
      <c r="R13" s="35"/>
      <c r="S13" s="36"/>
    </row>
    <row r="14" spans="1:19">
      <c r="A14" s="1"/>
      <c r="B14" s="37"/>
      <c r="C14" s="38"/>
      <c r="D14" s="38"/>
      <c r="E14" s="38"/>
      <c r="F14" s="1"/>
      <c r="G14" s="39"/>
      <c r="H14" s="1"/>
      <c r="I14" s="40"/>
      <c r="J14" s="1"/>
      <c r="K14" s="41"/>
      <c r="L14" s="42" t="s">
        <v>19</v>
      </c>
      <c r="M14" s="43"/>
      <c r="N14" s="43"/>
      <c r="O14" s="1" t="s">
        <v>17</v>
      </c>
      <c r="P14" s="44" t="s">
        <v>20</v>
      </c>
      <c r="Q14" s="45"/>
      <c r="R14" s="45"/>
      <c r="S14" s="45"/>
    </row>
    <row r="15" spans="1:19">
      <c r="A15" s="1"/>
      <c r="B15" s="37"/>
      <c r="C15" s="46" t="s">
        <v>21</v>
      </c>
      <c r="D15" s="46"/>
      <c r="E15" s="46"/>
      <c r="F15" s="46"/>
      <c r="G15" s="46"/>
      <c r="H15" s="46"/>
      <c r="I15" s="46"/>
      <c r="J15" s="1"/>
      <c r="K15" s="41"/>
      <c r="L15" s="47" t="s">
        <v>22</v>
      </c>
      <c r="M15" s="1"/>
      <c r="N15" s="1"/>
      <c r="O15" s="1" t="s">
        <v>17</v>
      </c>
      <c r="P15" s="48">
        <v>46050</v>
      </c>
      <c r="Q15" s="48"/>
      <c r="R15" s="48"/>
      <c r="S15" s="48"/>
    </row>
    <row r="16" spans="1:19">
      <c r="A16" s="1"/>
      <c r="B16" s="41"/>
      <c r="C16" s="49" t="s">
        <v>23</v>
      </c>
      <c r="D16" s="49"/>
      <c r="E16" s="49"/>
      <c r="F16" s="49"/>
      <c r="G16" s="49"/>
      <c r="H16" s="49"/>
      <c r="I16" s="49"/>
      <c r="J16" s="1"/>
      <c r="K16" s="41"/>
      <c r="L16" s="47" t="s">
        <v>24</v>
      </c>
      <c r="M16" s="1"/>
      <c r="N16" s="1"/>
      <c r="O16" s="1" t="s">
        <v>17</v>
      </c>
      <c r="P16" s="50">
        <v>1</v>
      </c>
      <c r="Q16" s="50"/>
      <c r="R16" s="50"/>
      <c r="S16" s="50"/>
    </row>
    <row r="17" spans="1:19">
      <c r="A17" s="1"/>
      <c r="B17" s="41"/>
      <c r="C17" s="49" t="str">
        <f>[1]Modal!E7</f>
        <v>E-0017/AALI/XII/2025</v>
      </c>
      <c r="D17" s="49"/>
      <c r="E17" s="49"/>
      <c r="F17" s="49"/>
      <c r="G17" s="49"/>
      <c r="H17" s="49"/>
      <c r="I17" s="49"/>
      <c r="J17" s="1"/>
      <c r="K17" s="41"/>
      <c r="L17" s="47" t="s">
        <v>25</v>
      </c>
      <c r="M17" s="1"/>
      <c r="N17" s="1"/>
      <c r="O17" s="1" t="s">
        <v>17</v>
      </c>
      <c r="P17" s="50" t="s">
        <v>26</v>
      </c>
      <c r="Q17" s="50"/>
      <c r="R17" s="50"/>
      <c r="S17" s="50"/>
    </row>
    <row r="18" spans="1:19">
      <c r="A18" s="1"/>
      <c r="B18" s="51"/>
      <c r="C18" s="52" t="str">
        <f>[1]Modal!E8</f>
        <v>MV. ANDHIKA ALISHA</v>
      </c>
      <c r="D18" s="52"/>
      <c r="E18" s="52"/>
      <c r="F18" s="52"/>
      <c r="G18" s="52"/>
      <c r="H18" s="52"/>
      <c r="I18" s="52"/>
      <c r="J18" s="53"/>
      <c r="K18" s="51"/>
      <c r="L18" s="54" t="s">
        <v>27</v>
      </c>
      <c r="M18" s="55"/>
      <c r="N18" s="55"/>
      <c r="O18" s="55" t="s">
        <v>17</v>
      </c>
      <c r="P18" s="56" t="s">
        <v>28</v>
      </c>
      <c r="Q18" s="56"/>
      <c r="R18" s="56"/>
      <c r="S18" s="56"/>
    </row>
    <row r="19" spans="1:19">
      <c r="A19" s="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1"/>
    </row>
    <row r="20" spans="1:19">
      <c r="A20" s="1"/>
      <c r="B20" s="57" t="s">
        <v>29</v>
      </c>
      <c r="C20" s="58" t="s">
        <v>30</v>
      </c>
      <c r="D20" s="58"/>
      <c r="E20" s="58" t="s">
        <v>31</v>
      </c>
      <c r="F20" s="58"/>
      <c r="G20" s="58"/>
      <c r="H20" s="58"/>
      <c r="I20" s="58"/>
      <c r="J20" s="58"/>
      <c r="K20" s="58"/>
      <c r="L20" s="58" t="s">
        <v>32</v>
      </c>
      <c r="M20" s="58"/>
      <c r="N20" s="58" t="s">
        <v>33</v>
      </c>
      <c r="O20" s="58"/>
      <c r="P20" s="58"/>
      <c r="Q20" s="58" t="s">
        <v>34</v>
      </c>
      <c r="R20" s="58"/>
      <c r="S20" s="58"/>
    </row>
    <row r="21" spans="1:19">
      <c r="A21" s="1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1"/>
      <c r="M21" s="62"/>
      <c r="N21" s="63"/>
      <c r="O21" s="63"/>
      <c r="P21" s="63"/>
      <c r="Q21" s="64"/>
      <c r="R21" s="64"/>
      <c r="S21" s="64"/>
    </row>
    <row r="22" spans="1:19">
      <c r="A22" s="1"/>
      <c r="B22" s="65"/>
      <c r="C22" s="66"/>
      <c r="D22" s="67"/>
      <c r="E22" s="68"/>
      <c r="F22" s="69"/>
      <c r="G22" s="69"/>
      <c r="H22" s="69"/>
      <c r="I22" s="69"/>
      <c r="J22" s="69"/>
      <c r="K22" s="70"/>
      <c r="L22" s="71"/>
      <c r="M22" s="72"/>
      <c r="N22" s="73"/>
      <c r="O22" s="74"/>
      <c r="P22" s="75"/>
      <c r="Q22" s="76"/>
      <c r="R22" s="77"/>
      <c r="S22" s="78"/>
    </row>
    <row r="23" spans="1:19">
      <c r="A23" s="1"/>
      <c r="B23" s="65"/>
      <c r="C23" s="79"/>
      <c r="D23" s="79"/>
      <c r="E23" s="80" t="s">
        <v>35</v>
      </c>
      <c r="F23" s="81"/>
      <c r="G23" s="81"/>
      <c r="H23" s="81"/>
      <c r="I23" s="81"/>
      <c r="J23" s="81"/>
      <c r="K23" s="82"/>
      <c r="L23" s="83"/>
      <c r="M23" s="84"/>
      <c r="N23" s="73"/>
      <c r="O23" s="74"/>
      <c r="P23" s="75"/>
      <c r="Q23" s="76"/>
      <c r="R23" s="77"/>
      <c r="S23" s="78"/>
    </row>
    <row r="24" spans="1:19">
      <c r="A24" s="1"/>
      <c r="B24" s="85"/>
      <c r="C24" s="66"/>
      <c r="D24" s="67"/>
      <c r="E24" s="80" t="s">
        <v>36</v>
      </c>
      <c r="F24" s="81"/>
      <c r="G24" s="81"/>
      <c r="H24" s="81"/>
      <c r="I24" s="81"/>
      <c r="J24" s="81"/>
      <c r="K24" s="82"/>
      <c r="L24" s="86"/>
      <c r="M24" s="72"/>
      <c r="N24" s="73"/>
      <c r="O24" s="74"/>
      <c r="P24" s="75"/>
      <c r="Q24" s="87"/>
      <c r="R24" s="88"/>
      <c r="S24" s="89"/>
    </row>
    <row r="25" spans="1:19">
      <c r="A25" s="1"/>
      <c r="B25" s="85"/>
      <c r="C25" s="66"/>
      <c r="D25" s="67"/>
      <c r="E25" s="80"/>
      <c r="F25" s="81"/>
      <c r="G25" s="81"/>
      <c r="H25" s="81"/>
      <c r="I25" s="81"/>
      <c r="J25" s="81"/>
      <c r="K25" s="82"/>
      <c r="L25" s="90"/>
      <c r="M25" s="72"/>
      <c r="N25" s="73"/>
      <c r="O25" s="74"/>
      <c r="P25" s="75"/>
      <c r="Q25" s="91"/>
      <c r="R25" s="92"/>
      <c r="S25" s="93"/>
    </row>
    <row r="26" spans="1:19">
      <c r="A26" s="1"/>
      <c r="B26" s="65">
        <v>1</v>
      </c>
      <c r="C26" s="94" t="s">
        <v>37</v>
      </c>
      <c r="D26" s="67"/>
      <c r="E26" s="95" t="s">
        <v>38</v>
      </c>
      <c r="F26" s="96"/>
      <c r="G26" s="96"/>
      <c r="H26" s="96"/>
      <c r="I26" s="96"/>
      <c r="J26" s="96"/>
      <c r="K26" s="97"/>
      <c r="L26" s="83">
        <v>2</v>
      </c>
      <c r="M26" s="84" t="s">
        <v>39</v>
      </c>
      <c r="N26" s="73">
        <v>17500000</v>
      </c>
      <c r="O26" s="74"/>
      <c r="P26" s="75"/>
      <c r="Q26" s="98">
        <f>N26*L26</f>
        <v>35000000</v>
      </c>
      <c r="R26" s="99"/>
      <c r="S26" s="100"/>
    </row>
    <row r="27" spans="1:19">
      <c r="A27" s="1"/>
      <c r="B27" s="65"/>
      <c r="C27" s="66"/>
      <c r="D27" s="67"/>
      <c r="E27" s="101" t="s">
        <v>40</v>
      </c>
      <c r="F27" s="102"/>
      <c r="G27" s="102"/>
      <c r="H27" s="102"/>
      <c r="I27" s="102"/>
      <c r="J27" s="102"/>
      <c r="K27" s="103"/>
      <c r="L27" s="83"/>
      <c r="M27" s="84"/>
      <c r="N27" s="104"/>
      <c r="O27" s="105"/>
      <c r="P27" s="106"/>
      <c r="Q27" s="107"/>
      <c r="R27" s="108"/>
      <c r="S27" s="109"/>
    </row>
    <row r="28" spans="1:19">
      <c r="A28" s="1"/>
      <c r="B28" s="65"/>
      <c r="C28" s="66"/>
      <c r="D28" s="67"/>
      <c r="E28" s="95"/>
      <c r="F28" s="96"/>
      <c r="G28" s="96"/>
      <c r="H28" s="96"/>
      <c r="I28" s="96"/>
      <c r="J28" s="96"/>
      <c r="K28" s="97"/>
      <c r="L28" s="83"/>
      <c r="M28" s="84"/>
      <c r="N28" s="104"/>
      <c r="O28" s="105"/>
      <c r="P28" s="106"/>
      <c r="Q28" s="107"/>
      <c r="R28" s="108"/>
      <c r="S28" s="109"/>
    </row>
    <row r="29" spans="1:19">
      <c r="A29" s="1"/>
      <c r="B29" s="65">
        <v>2</v>
      </c>
      <c r="C29" s="94" t="s">
        <v>41</v>
      </c>
      <c r="D29" s="67"/>
      <c r="E29" s="95" t="s">
        <v>42</v>
      </c>
      <c r="F29" s="96"/>
      <c r="G29" s="96"/>
      <c r="H29" s="96"/>
      <c r="I29" s="96"/>
      <c r="J29" s="96"/>
      <c r="K29" s="97"/>
      <c r="L29" s="83">
        <v>2</v>
      </c>
      <c r="M29" s="84" t="s">
        <v>39</v>
      </c>
      <c r="N29" s="73">
        <v>5300000</v>
      </c>
      <c r="O29" s="74"/>
      <c r="P29" s="75"/>
      <c r="Q29" s="98">
        <f>N29*L29</f>
        <v>10600000</v>
      </c>
      <c r="R29" s="99"/>
      <c r="S29" s="100"/>
    </row>
    <row r="30" spans="1:19">
      <c r="A30" s="1"/>
      <c r="B30" s="65"/>
      <c r="C30" s="66"/>
      <c r="D30" s="67"/>
      <c r="E30" s="95"/>
      <c r="F30" s="96"/>
      <c r="G30" s="96"/>
      <c r="H30" s="96"/>
      <c r="I30" s="96"/>
      <c r="J30" s="96"/>
      <c r="K30" s="97"/>
      <c r="L30" s="83"/>
      <c r="M30" s="84"/>
      <c r="N30" s="104"/>
      <c r="O30" s="105"/>
      <c r="P30" s="106"/>
      <c r="Q30" s="107"/>
      <c r="R30" s="108"/>
      <c r="S30" s="109"/>
    </row>
    <row r="31" spans="1:19">
      <c r="A31" s="1"/>
      <c r="B31" s="65">
        <v>3</v>
      </c>
      <c r="C31" s="94" t="s">
        <v>43</v>
      </c>
      <c r="D31" s="67"/>
      <c r="E31" s="95" t="s">
        <v>44</v>
      </c>
      <c r="F31" s="96"/>
      <c r="G31" s="96"/>
      <c r="H31" s="96"/>
      <c r="I31" s="96"/>
      <c r="J31" s="96"/>
      <c r="K31" s="97"/>
      <c r="L31" s="83">
        <v>2</v>
      </c>
      <c r="M31" s="84" t="s">
        <v>39</v>
      </c>
      <c r="N31" s="73">
        <v>2000000</v>
      </c>
      <c r="O31" s="74"/>
      <c r="P31" s="75"/>
      <c r="Q31" s="98">
        <f>N31*L31</f>
        <v>4000000</v>
      </c>
      <c r="R31" s="99"/>
      <c r="S31" s="100"/>
    </row>
    <row r="32" spans="1:19">
      <c r="A32" s="1"/>
      <c r="B32" s="65"/>
      <c r="C32" s="66"/>
      <c r="D32" s="67"/>
      <c r="E32" s="95"/>
      <c r="F32" s="96"/>
      <c r="G32" s="96"/>
      <c r="H32" s="96"/>
      <c r="I32" s="96"/>
      <c r="J32" s="96"/>
      <c r="K32" s="97"/>
      <c r="L32" s="83"/>
      <c r="M32" s="84"/>
      <c r="N32" s="104"/>
      <c r="O32" s="105"/>
      <c r="P32" s="106"/>
      <c r="Q32" s="107"/>
      <c r="R32" s="108"/>
      <c r="S32" s="109"/>
    </row>
    <row r="33" spans="1:19">
      <c r="A33" s="110"/>
      <c r="B33" s="65">
        <v>4</v>
      </c>
      <c r="C33" s="94" t="s">
        <v>45</v>
      </c>
      <c r="D33" s="67"/>
      <c r="E33" s="95" t="s">
        <v>46</v>
      </c>
      <c r="F33" s="96"/>
      <c r="G33" s="96"/>
      <c r="H33" s="96"/>
      <c r="I33" s="96"/>
      <c r="J33" s="96"/>
      <c r="K33" s="97"/>
      <c r="L33" s="83">
        <v>2</v>
      </c>
      <c r="M33" s="84" t="s">
        <v>39</v>
      </c>
      <c r="N33" s="73">
        <v>85000</v>
      </c>
      <c r="O33" s="74"/>
      <c r="P33" s="75"/>
      <c r="Q33" s="98">
        <f>N33*L33</f>
        <v>170000</v>
      </c>
      <c r="R33" s="99"/>
      <c r="S33" s="100"/>
    </row>
    <row r="34" spans="1:19">
      <c r="A34" s="1"/>
      <c r="B34" s="65"/>
      <c r="C34" s="66"/>
      <c r="D34" s="67"/>
      <c r="E34" s="95"/>
      <c r="F34" s="96"/>
      <c r="G34" s="96"/>
      <c r="H34" s="96"/>
      <c r="I34" s="96"/>
      <c r="J34" s="96"/>
      <c r="K34" s="97"/>
      <c r="L34" s="83"/>
      <c r="M34" s="84"/>
      <c r="N34" s="104"/>
      <c r="O34" s="105"/>
      <c r="P34" s="106"/>
      <c r="Q34" s="107"/>
      <c r="R34" s="108"/>
      <c r="S34" s="109"/>
    </row>
    <row r="35" spans="1:19">
      <c r="A35" s="1"/>
      <c r="B35" s="65">
        <v>5</v>
      </c>
      <c r="C35" s="94" t="s">
        <v>47</v>
      </c>
      <c r="D35" s="67"/>
      <c r="E35" s="95" t="s">
        <v>48</v>
      </c>
      <c r="F35" s="96"/>
      <c r="G35" s="96"/>
      <c r="H35" s="96"/>
      <c r="I35" s="96"/>
      <c r="J35" s="96"/>
      <c r="K35" s="97"/>
      <c r="L35" s="83">
        <v>2</v>
      </c>
      <c r="M35" s="84" t="s">
        <v>39</v>
      </c>
      <c r="N35" s="73">
        <v>200000</v>
      </c>
      <c r="O35" s="74"/>
      <c r="P35" s="75"/>
      <c r="Q35" s="98">
        <f>N35*L35</f>
        <v>400000</v>
      </c>
      <c r="R35" s="99"/>
      <c r="S35" s="100"/>
    </row>
    <row r="36" spans="1:19">
      <c r="A36" s="1"/>
      <c r="B36" s="65"/>
      <c r="C36" s="66"/>
      <c r="D36" s="67"/>
      <c r="E36" s="95"/>
      <c r="F36" s="96"/>
      <c r="G36" s="96"/>
      <c r="H36" s="96"/>
      <c r="I36" s="96"/>
      <c r="J36" s="96"/>
      <c r="K36" s="97"/>
      <c r="L36" s="83"/>
      <c r="M36" s="84"/>
      <c r="N36" s="104"/>
      <c r="O36" s="105"/>
      <c r="P36" s="106"/>
      <c r="Q36" s="107"/>
      <c r="R36" s="108"/>
      <c r="S36" s="109"/>
    </row>
    <row r="37" spans="1:19">
      <c r="A37" s="1"/>
      <c r="B37" s="65">
        <v>6</v>
      </c>
      <c r="C37" s="94" t="s">
        <v>49</v>
      </c>
      <c r="D37" s="67"/>
      <c r="E37" s="95" t="s">
        <v>50</v>
      </c>
      <c r="F37" s="96"/>
      <c r="G37" s="96"/>
      <c r="H37" s="96"/>
      <c r="I37" s="96"/>
      <c r="J37" s="96"/>
      <c r="K37" s="97"/>
      <c r="L37" s="83">
        <v>2</v>
      </c>
      <c r="M37" s="84" t="s">
        <v>39</v>
      </c>
      <c r="N37" s="73">
        <v>2500000</v>
      </c>
      <c r="O37" s="74"/>
      <c r="P37" s="75"/>
      <c r="Q37" s="98">
        <f>N37*L37</f>
        <v>5000000</v>
      </c>
      <c r="R37" s="99"/>
      <c r="S37" s="100"/>
    </row>
    <row r="38" spans="1:19">
      <c r="A38" s="1"/>
      <c r="B38" s="65"/>
      <c r="C38" s="66"/>
      <c r="D38" s="67"/>
      <c r="E38" s="101" t="s">
        <v>51</v>
      </c>
      <c r="F38" s="102"/>
      <c r="G38" s="102"/>
      <c r="H38" s="102"/>
      <c r="I38" s="102"/>
      <c r="J38" s="102"/>
      <c r="K38" s="103"/>
      <c r="L38" s="83"/>
      <c r="M38" s="84"/>
      <c r="N38" s="104"/>
      <c r="O38" s="105"/>
      <c r="P38" s="106"/>
      <c r="Q38" s="107"/>
      <c r="R38" s="108"/>
      <c r="S38" s="109"/>
    </row>
    <row r="39" spans="1:19">
      <c r="A39" s="1"/>
      <c r="B39" s="65"/>
      <c r="C39" s="66"/>
      <c r="D39" s="67"/>
      <c r="E39" s="95"/>
      <c r="F39" s="96"/>
      <c r="G39" s="96"/>
      <c r="H39" s="96"/>
      <c r="I39" s="96"/>
      <c r="J39" s="96"/>
      <c r="K39" s="97"/>
      <c r="L39" s="83"/>
      <c r="M39" s="84"/>
      <c r="N39" s="104"/>
      <c r="O39" s="105"/>
      <c r="P39" s="106"/>
      <c r="Q39" s="107"/>
      <c r="R39" s="108"/>
      <c r="S39" s="109"/>
    </row>
    <row r="40" spans="1:19">
      <c r="A40" s="1"/>
      <c r="B40" s="65"/>
      <c r="C40" s="66"/>
      <c r="D40" s="67"/>
      <c r="E40" s="95"/>
      <c r="F40" s="96"/>
      <c r="G40" s="96"/>
      <c r="H40" s="96"/>
      <c r="I40" s="96"/>
      <c r="J40" s="96"/>
      <c r="K40" s="97"/>
      <c r="L40" s="83"/>
      <c r="M40" s="84"/>
      <c r="N40" s="104"/>
      <c r="O40" s="105"/>
      <c r="P40" s="106"/>
      <c r="Q40" s="107"/>
      <c r="R40" s="108"/>
      <c r="S40" s="109"/>
    </row>
    <row r="41" spans="1:19">
      <c r="A41" s="1"/>
      <c r="B41" s="85"/>
      <c r="C41" s="66"/>
      <c r="D41" s="67"/>
      <c r="E41" s="111"/>
      <c r="F41" s="112"/>
      <c r="G41" s="112"/>
      <c r="H41" s="112"/>
      <c r="I41" s="112"/>
      <c r="J41" s="112"/>
      <c r="K41" s="113"/>
      <c r="L41" s="114"/>
      <c r="M41" s="115"/>
      <c r="N41" s="73"/>
      <c r="O41" s="74"/>
      <c r="P41" s="75"/>
      <c r="Q41" s="91"/>
      <c r="R41" s="92"/>
      <c r="S41" s="93"/>
    </row>
    <row r="42" spans="1:19">
      <c r="A42" s="1"/>
      <c r="B42" s="65"/>
      <c r="C42" s="116"/>
      <c r="D42" s="117"/>
      <c r="E42" s="118"/>
      <c r="F42" s="119"/>
      <c r="G42" s="119"/>
      <c r="H42" s="119"/>
      <c r="I42" s="119"/>
      <c r="J42" s="119"/>
      <c r="K42" s="120"/>
      <c r="L42" s="90"/>
      <c r="M42" s="72"/>
      <c r="N42" s="73"/>
      <c r="O42" s="74"/>
      <c r="P42" s="75"/>
      <c r="Q42" s="87"/>
      <c r="R42" s="88"/>
      <c r="S42" s="89"/>
    </row>
    <row r="43" spans="1:19">
      <c r="A43" s="1"/>
      <c r="B43" s="85"/>
      <c r="C43" s="66"/>
      <c r="D43" s="67"/>
      <c r="E43" s="121" t="s">
        <v>52</v>
      </c>
      <c r="F43" s="122"/>
      <c r="G43" s="122"/>
      <c r="H43" s="122"/>
      <c r="I43" s="122"/>
      <c r="J43" s="122"/>
      <c r="K43" s="123"/>
      <c r="L43" s="71"/>
      <c r="M43" s="72"/>
      <c r="N43" s="73"/>
      <c r="O43" s="74"/>
      <c r="P43" s="75"/>
      <c r="Q43" s="76"/>
      <c r="R43" s="77"/>
      <c r="S43" s="78"/>
    </row>
    <row r="44" spans="1:19">
      <c r="A44" s="1"/>
      <c r="B44" s="85"/>
      <c r="C44" s="66"/>
      <c r="D44" s="67"/>
      <c r="E44" s="121" t="s">
        <v>53</v>
      </c>
      <c r="F44" s="122"/>
      <c r="G44" s="122"/>
      <c r="H44" s="122"/>
      <c r="I44" s="122"/>
      <c r="J44" s="122"/>
      <c r="K44" s="123"/>
      <c r="L44" s="71"/>
      <c r="M44" s="72"/>
      <c r="N44" s="73"/>
      <c r="O44" s="74"/>
      <c r="P44" s="75"/>
      <c r="Q44" s="76"/>
      <c r="R44" s="77"/>
      <c r="S44" s="78"/>
    </row>
    <row r="45" spans="1:19">
      <c r="A45" s="1"/>
      <c r="B45" s="85"/>
      <c r="C45" s="66"/>
      <c r="D45" s="67"/>
      <c r="E45" s="121" t="s">
        <v>54</v>
      </c>
      <c r="F45" s="122"/>
      <c r="G45" s="122"/>
      <c r="H45" s="122"/>
      <c r="I45" s="122"/>
      <c r="J45" s="122"/>
      <c r="K45" s="123"/>
      <c r="L45" s="71"/>
      <c r="M45" s="72"/>
      <c r="N45" s="73"/>
      <c r="O45" s="74"/>
      <c r="P45" s="75"/>
      <c r="Q45" s="76"/>
      <c r="R45" s="77"/>
      <c r="S45" s="78"/>
    </row>
    <row r="46" spans="1:19">
      <c r="A46" s="1"/>
      <c r="B46" s="85"/>
      <c r="C46" s="66"/>
      <c r="D46" s="67"/>
      <c r="E46" s="121" t="s">
        <v>55</v>
      </c>
      <c r="F46" s="122"/>
      <c r="G46" s="122"/>
      <c r="H46" s="122"/>
      <c r="I46" s="122"/>
      <c r="J46" s="122"/>
      <c r="K46" s="123"/>
      <c r="L46" s="71"/>
      <c r="M46" s="72"/>
      <c r="N46" s="73"/>
      <c r="O46" s="74"/>
      <c r="P46" s="75"/>
      <c r="Q46" s="76"/>
      <c r="R46" s="77"/>
      <c r="S46" s="78"/>
    </row>
    <row r="47" spans="1:19">
      <c r="A47" s="1"/>
      <c r="B47" s="124"/>
      <c r="C47" s="125"/>
      <c r="D47" s="126"/>
      <c r="E47" s="127"/>
      <c r="F47" s="128"/>
      <c r="G47" s="128"/>
      <c r="H47" s="128"/>
      <c r="I47" s="128"/>
      <c r="J47" s="128"/>
      <c r="K47" s="129"/>
      <c r="L47" s="130"/>
      <c r="M47" s="131"/>
      <c r="N47" s="132"/>
      <c r="O47" s="133"/>
      <c r="P47" s="134"/>
      <c r="Q47" s="135"/>
      <c r="R47" s="136"/>
      <c r="S47" s="137"/>
    </row>
    <row r="48" spans="1:19">
      <c r="A48" s="1"/>
      <c r="B48" s="138"/>
      <c r="C48" s="139" t="s">
        <v>56</v>
      </c>
      <c r="D48" s="139"/>
      <c r="E48" s="140" t="s">
        <v>57</v>
      </c>
      <c r="F48" s="140"/>
      <c r="G48" s="140"/>
      <c r="H48" s="140"/>
      <c r="I48" s="140"/>
      <c r="J48" s="140"/>
      <c r="K48" s="141"/>
      <c r="L48" s="142"/>
      <c r="M48" s="143"/>
      <c r="N48" s="144"/>
      <c r="O48" s="133"/>
      <c r="P48" s="145"/>
      <c r="Q48" s="146"/>
      <c r="R48" s="136"/>
      <c r="S48" s="147"/>
    </row>
    <row r="49" spans="1:19">
      <c r="A49" s="1"/>
      <c r="B49" s="59"/>
      <c r="C49" s="148" t="s">
        <v>58</v>
      </c>
      <c r="D49" s="148"/>
      <c r="E49" s="149" t="s">
        <v>59</v>
      </c>
      <c r="F49" s="149"/>
      <c r="G49" s="149"/>
      <c r="H49" s="149"/>
      <c r="I49" s="149"/>
      <c r="J49" s="149"/>
      <c r="K49" s="150"/>
      <c r="L49" s="142"/>
      <c r="M49" s="143"/>
      <c r="N49" s="144"/>
      <c r="O49" s="133"/>
      <c r="P49" s="145"/>
      <c r="Q49" s="146"/>
      <c r="R49" s="136"/>
      <c r="S49" s="147"/>
    </row>
    <row r="50" spans="1:19">
      <c r="A50" s="1"/>
      <c r="B50" s="59"/>
      <c r="C50" s="148" t="s">
        <v>60</v>
      </c>
      <c r="D50" s="148"/>
      <c r="E50" s="149" t="s">
        <v>61</v>
      </c>
      <c r="F50" s="149"/>
      <c r="G50" s="149"/>
      <c r="H50" s="149"/>
      <c r="I50" s="149"/>
      <c r="J50" s="149"/>
      <c r="K50" s="150"/>
      <c r="L50" s="59"/>
      <c r="M50" s="143"/>
      <c r="N50" s="151"/>
      <c r="O50" s="152"/>
      <c r="P50" s="153"/>
      <c r="Q50" s="154"/>
      <c r="R50" s="155"/>
      <c r="S50" s="156"/>
    </row>
    <row r="51" spans="1:19">
      <c r="A51" s="1"/>
      <c r="B51" s="59"/>
      <c r="C51" s="148" t="s">
        <v>62</v>
      </c>
      <c r="D51" s="148"/>
      <c r="E51" s="149" t="s">
        <v>63</v>
      </c>
      <c r="F51" s="149"/>
      <c r="G51" s="149"/>
      <c r="H51" s="149"/>
      <c r="I51" s="149"/>
      <c r="J51" s="149"/>
      <c r="K51" s="150"/>
      <c r="L51" s="59"/>
      <c r="M51" s="143"/>
      <c r="N51" s="157"/>
      <c r="O51" s="158"/>
      <c r="P51" s="159"/>
      <c r="Q51" s="146"/>
      <c r="R51" s="136"/>
      <c r="S51" s="147"/>
    </row>
    <row r="52" spans="1:19">
      <c r="A52" s="1"/>
      <c r="B52" s="160"/>
      <c r="C52" s="161" t="s">
        <v>64</v>
      </c>
      <c r="D52" s="161"/>
      <c r="E52" s="162" t="s">
        <v>65</v>
      </c>
      <c r="F52" s="162"/>
      <c r="G52" s="162"/>
      <c r="H52" s="162"/>
      <c r="I52" s="162"/>
      <c r="J52" s="162"/>
      <c r="K52" s="163"/>
      <c r="L52" s="160"/>
      <c r="M52" s="164"/>
      <c r="N52" s="165"/>
      <c r="O52" s="166"/>
      <c r="P52" s="167"/>
      <c r="Q52" s="168"/>
      <c r="R52" s="169"/>
      <c r="S52" s="170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71"/>
      <c r="R53" s="171"/>
      <c r="S53" s="171"/>
    </row>
    <row r="54" spans="1:19">
      <c r="A54" s="172"/>
      <c r="B54" s="1"/>
      <c r="C54" s="1"/>
      <c r="D54" s="1"/>
      <c r="E54" s="1"/>
      <c r="F54" s="1"/>
      <c r="G54" s="1"/>
      <c r="H54" s="1"/>
      <c r="I54" s="1"/>
      <c r="J54" s="1"/>
      <c r="K54" s="1"/>
      <c r="L54" s="173" t="s">
        <v>66</v>
      </c>
      <c r="M54" s="174"/>
      <c r="N54" s="174"/>
      <c r="O54" s="174"/>
      <c r="P54" s="175"/>
      <c r="Q54" s="176">
        <f>SUM(Q23:S51)</f>
        <v>55170000</v>
      </c>
      <c r="R54" s="177"/>
      <c r="S54" s="178"/>
    </row>
    <row r="55" spans="1:19">
      <c r="A55" s="172"/>
      <c r="B55" s="1"/>
      <c r="C55" s="1"/>
      <c r="D55" s="1"/>
      <c r="E55" s="1"/>
      <c r="F55" s="1"/>
      <c r="G55" s="1"/>
      <c r="H55" s="1"/>
      <c r="I55" s="1"/>
      <c r="J55" s="1"/>
      <c r="K55" s="1"/>
      <c r="L55" s="173" t="s">
        <v>67</v>
      </c>
      <c r="M55" s="174"/>
      <c r="N55" s="179">
        <v>0.1</v>
      </c>
      <c r="O55" s="179"/>
      <c r="P55" s="180" t="s">
        <v>68</v>
      </c>
      <c r="Q55" s="176">
        <f>N55*-Q54</f>
        <v>-5517000</v>
      </c>
      <c r="R55" s="177"/>
      <c r="S55" s="178"/>
    </row>
    <row r="56" spans="1:19">
      <c r="A56" s="181"/>
      <c r="B56" s="1" t="s">
        <v>69</v>
      </c>
      <c r="C56" s="1"/>
      <c r="D56" s="1"/>
      <c r="E56" s="1"/>
      <c r="F56" s="1"/>
      <c r="G56" s="1"/>
      <c r="H56" s="1"/>
      <c r="I56" s="1"/>
      <c r="J56" s="1"/>
      <c r="K56" s="1"/>
      <c r="L56" s="173" t="s">
        <v>70</v>
      </c>
      <c r="M56" s="174"/>
      <c r="N56" s="174"/>
      <c r="O56" s="174"/>
      <c r="P56" s="175"/>
      <c r="Q56" s="182">
        <f>Q54+Q55</f>
        <v>49653000</v>
      </c>
      <c r="R56" s="183"/>
      <c r="S56" s="184"/>
    </row>
    <row r="57" spans="1:19">
      <c r="A57" s="172"/>
      <c r="B57" s="1"/>
      <c r="C57" s="1"/>
      <c r="D57" s="1"/>
      <c r="E57" s="1"/>
      <c r="F57" s="1"/>
      <c r="G57" s="1"/>
      <c r="H57" s="1"/>
      <c r="I57" s="1"/>
      <c r="J57" s="1"/>
      <c r="K57" s="1"/>
      <c r="L57" s="173" t="s">
        <v>71</v>
      </c>
      <c r="M57" s="174"/>
      <c r="N57" s="174"/>
      <c r="O57" s="174"/>
      <c r="P57" s="175"/>
      <c r="Q57" s="185">
        <f>Q56*11%</f>
        <v>5461830</v>
      </c>
      <c r="R57" s="186"/>
      <c r="S57" s="187"/>
    </row>
    <row r="58" spans="1:19">
      <c r="A58" s="172"/>
      <c r="B58" s="1"/>
      <c r="C58" s="1"/>
      <c r="D58" s="1"/>
      <c r="E58" s="1"/>
      <c r="F58" s="1"/>
      <c r="G58" s="1"/>
      <c r="H58" s="1"/>
      <c r="I58" s="1"/>
      <c r="J58" s="1"/>
      <c r="K58" s="1"/>
      <c r="L58" s="188" t="s">
        <v>72</v>
      </c>
      <c r="M58" s="189"/>
      <c r="N58" s="189"/>
      <c r="O58" s="189"/>
      <c r="P58" s="190"/>
      <c r="Q58" s="191">
        <f>SUM(Q56:S57)</f>
        <v>55114830</v>
      </c>
      <c r="R58" s="192"/>
      <c r="S58" s="193"/>
    </row>
    <row r="59" spans="1:19">
      <c r="A59" s="172"/>
      <c r="B59" s="1"/>
      <c r="C59" s="1"/>
      <c r="D59" s="1"/>
      <c r="E59" s="1"/>
      <c r="F59" s="1"/>
      <c r="G59" s="1"/>
      <c r="H59" s="1"/>
      <c r="I59" s="1"/>
      <c r="J59" s="194"/>
      <c r="K59" s="194"/>
      <c r="L59" s="194"/>
      <c r="M59" s="194"/>
      <c r="N59" s="194"/>
      <c r="O59" s="194"/>
      <c r="P59" s="194"/>
      <c r="Q59" s="195"/>
      <c r="R59" s="195"/>
      <c r="S59" s="195"/>
    </row>
    <row r="60" spans="1:19">
      <c r="A60" s="172"/>
      <c r="B60" s="1"/>
      <c r="C60" s="1"/>
      <c r="D60" s="1"/>
      <c r="E60" s="1"/>
      <c r="F60" s="1"/>
      <c r="G60" s="1"/>
      <c r="H60" s="1"/>
      <c r="I60" s="1"/>
      <c r="J60" s="1"/>
      <c r="K60" s="1"/>
      <c r="L60" s="196" t="s">
        <v>73</v>
      </c>
      <c r="M60" s="196"/>
      <c r="N60" s="196"/>
      <c r="O60" s="196"/>
      <c r="P60" s="196"/>
      <c r="Q60" s="196"/>
      <c r="R60" s="196"/>
      <c r="S60" s="196"/>
    </row>
    <row r="61" spans="1:19">
      <c r="A61" s="172"/>
      <c r="B61" s="1"/>
      <c r="C61" s="1"/>
      <c r="D61" s="1"/>
      <c r="E61" s="1"/>
      <c r="F61" s="1"/>
      <c r="G61" s="1"/>
      <c r="H61" s="1"/>
      <c r="I61" s="1"/>
      <c r="J61" s="1"/>
      <c r="K61" s="1"/>
      <c r="L61" s="197"/>
      <c r="M61" s="197"/>
      <c r="N61" s="197"/>
      <c r="O61" s="197"/>
      <c r="P61" s="197"/>
      <c r="Q61" s="197"/>
      <c r="R61" s="197"/>
      <c r="S61" s="197"/>
    </row>
    <row r="62" spans="1:19">
      <c r="A62" s="172"/>
      <c r="B62" s="1"/>
      <c r="C62" s="1"/>
      <c r="D62" s="1"/>
      <c r="E62" s="1"/>
      <c r="F62" s="1"/>
      <c r="G62" s="1"/>
      <c r="H62" s="1"/>
      <c r="I62" s="1"/>
      <c r="J62" s="1"/>
      <c r="K62" s="1"/>
      <c r="L62" s="197"/>
      <c r="M62" s="197"/>
      <c r="N62" s="197"/>
      <c r="O62" s="197"/>
      <c r="P62" s="197"/>
      <c r="Q62" s="197"/>
      <c r="R62" s="197"/>
      <c r="S62" s="197"/>
    </row>
    <row r="63" spans="1:19">
      <c r="A63" s="172"/>
      <c r="B63" s="1"/>
      <c r="C63" s="1"/>
      <c r="D63" s="1"/>
      <c r="E63" s="1"/>
      <c r="F63" s="1"/>
      <c r="G63" s="1"/>
      <c r="H63" s="1"/>
      <c r="I63" s="1"/>
      <c r="J63" s="1"/>
      <c r="K63" s="1"/>
      <c r="L63" s="197"/>
      <c r="M63" s="197"/>
      <c r="N63" s="197"/>
      <c r="O63" s="197"/>
      <c r="P63" s="197"/>
      <c r="Q63" s="197"/>
      <c r="R63" s="197"/>
      <c r="S63" s="197"/>
    </row>
    <row r="64" spans="1:19">
      <c r="A64" s="172"/>
      <c r="B64" s="1"/>
      <c r="C64" s="1"/>
      <c r="D64" s="1"/>
      <c r="E64" s="1"/>
      <c r="F64" s="1"/>
      <c r="G64" s="1"/>
      <c r="H64" s="1"/>
      <c r="I64" s="1"/>
      <c r="J64" s="1"/>
      <c r="K64" s="1"/>
      <c r="L64" s="198" t="s">
        <v>74</v>
      </c>
      <c r="M64" s="198"/>
      <c r="N64" s="198"/>
      <c r="O64" s="198"/>
      <c r="P64" s="198"/>
      <c r="Q64" s="198"/>
      <c r="R64" s="198"/>
      <c r="S64" s="198"/>
    </row>
  </sheetData>
  <mergeCells count="156">
    <mergeCell ref="L64:S64"/>
    <mergeCell ref="L10:S11"/>
    <mergeCell ref="L57:P57"/>
    <mergeCell ref="Q57:S57"/>
    <mergeCell ref="L58:P58"/>
    <mergeCell ref="Q58:S58"/>
    <mergeCell ref="L60:S60"/>
    <mergeCell ref="L61:S63"/>
    <mergeCell ref="L54:P54"/>
    <mergeCell ref="Q54:S54"/>
    <mergeCell ref="L55:M55"/>
    <mergeCell ref="N55:O55"/>
    <mergeCell ref="Q55:S55"/>
    <mergeCell ref="L56:P56"/>
    <mergeCell ref="Q56:S56"/>
    <mergeCell ref="E51:K51"/>
    <mergeCell ref="N51:P51"/>
    <mergeCell ref="Q51:S51"/>
    <mergeCell ref="E52:K52"/>
    <mergeCell ref="N52:P52"/>
    <mergeCell ref="Q52:S52"/>
    <mergeCell ref="E49:K49"/>
    <mergeCell ref="N49:P49"/>
    <mergeCell ref="Q49:S49"/>
    <mergeCell ref="E50:K50"/>
    <mergeCell ref="N50:P50"/>
    <mergeCell ref="Q50:S50"/>
    <mergeCell ref="C47:D47"/>
    <mergeCell ref="E47:K47"/>
    <mergeCell ref="N47:P47"/>
    <mergeCell ref="Q47:S47"/>
    <mergeCell ref="E48:K48"/>
    <mergeCell ref="N48:P48"/>
    <mergeCell ref="Q48:S48"/>
    <mergeCell ref="C45:D45"/>
    <mergeCell ref="E45:K45"/>
    <mergeCell ref="N45:P45"/>
    <mergeCell ref="Q45:S45"/>
    <mergeCell ref="C46:D46"/>
    <mergeCell ref="E46:K46"/>
    <mergeCell ref="N46:P46"/>
    <mergeCell ref="Q46:S46"/>
    <mergeCell ref="C43:D43"/>
    <mergeCell ref="E43:K43"/>
    <mergeCell ref="N43:P43"/>
    <mergeCell ref="Q43:S43"/>
    <mergeCell ref="C44:D44"/>
    <mergeCell ref="E44:K44"/>
    <mergeCell ref="N44:P44"/>
    <mergeCell ref="Q44:S44"/>
    <mergeCell ref="C41:D41"/>
    <mergeCell ref="E41:K41"/>
    <mergeCell ref="N41:P41"/>
    <mergeCell ref="Q41:S41"/>
    <mergeCell ref="C42:D42"/>
    <mergeCell ref="E42:K42"/>
    <mergeCell ref="N42:P42"/>
    <mergeCell ref="Q42:S42"/>
    <mergeCell ref="C39:D39"/>
    <mergeCell ref="E39:K39"/>
    <mergeCell ref="N39:P39"/>
    <mergeCell ref="Q39:S39"/>
    <mergeCell ref="C40:D40"/>
    <mergeCell ref="E40:K40"/>
    <mergeCell ref="N40:P40"/>
    <mergeCell ref="Q40:S40"/>
    <mergeCell ref="C37:D37"/>
    <mergeCell ref="E37:K37"/>
    <mergeCell ref="N37:P37"/>
    <mergeCell ref="Q37:S37"/>
    <mergeCell ref="C38:D38"/>
    <mergeCell ref="E38:K38"/>
    <mergeCell ref="N38:P38"/>
    <mergeCell ref="Q38:S38"/>
    <mergeCell ref="C35:D35"/>
    <mergeCell ref="E35:K35"/>
    <mergeCell ref="N35:P35"/>
    <mergeCell ref="Q35:S35"/>
    <mergeCell ref="C36:D36"/>
    <mergeCell ref="E36:K36"/>
    <mergeCell ref="N36:P36"/>
    <mergeCell ref="Q36:S36"/>
    <mergeCell ref="C33:D33"/>
    <mergeCell ref="E33:K33"/>
    <mergeCell ref="N33:P33"/>
    <mergeCell ref="Q33:S33"/>
    <mergeCell ref="C34:D34"/>
    <mergeCell ref="E34:K34"/>
    <mergeCell ref="N34:P34"/>
    <mergeCell ref="Q34:S34"/>
    <mergeCell ref="C31:D31"/>
    <mergeCell ref="E31:K31"/>
    <mergeCell ref="N31:P31"/>
    <mergeCell ref="Q31:S31"/>
    <mergeCell ref="C32:D32"/>
    <mergeCell ref="E32:K32"/>
    <mergeCell ref="N32:P32"/>
    <mergeCell ref="Q32:S32"/>
    <mergeCell ref="C29:D29"/>
    <mergeCell ref="E29:K29"/>
    <mergeCell ref="N29:P29"/>
    <mergeCell ref="Q29:S29"/>
    <mergeCell ref="C30:D30"/>
    <mergeCell ref="E30:K30"/>
    <mergeCell ref="N30:P30"/>
    <mergeCell ref="Q30:S30"/>
    <mergeCell ref="C27:D27"/>
    <mergeCell ref="E27:K27"/>
    <mergeCell ref="N27:P27"/>
    <mergeCell ref="Q27:S27"/>
    <mergeCell ref="C28:D28"/>
    <mergeCell ref="E28:K28"/>
    <mergeCell ref="N28:P28"/>
    <mergeCell ref="Q28:S28"/>
    <mergeCell ref="C25:D25"/>
    <mergeCell ref="E25:K25"/>
    <mergeCell ref="N25:P25"/>
    <mergeCell ref="Q25:S25"/>
    <mergeCell ref="C26:D26"/>
    <mergeCell ref="E26:K26"/>
    <mergeCell ref="N26:P26"/>
    <mergeCell ref="Q26:S26"/>
    <mergeCell ref="C23:D23"/>
    <mergeCell ref="E23:K23"/>
    <mergeCell ref="N23:P23"/>
    <mergeCell ref="Q23:S23"/>
    <mergeCell ref="C24:D24"/>
    <mergeCell ref="E24:K24"/>
    <mergeCell ref="N24:P24"/>
    <mergeCell ref="Q24:S24"/>
    <mergeCell ref="C21:D21"/>
    <mergeCell ref="E21:K21"/>
    <mergeCell ref="N21:P21"/>
    <mergeCell ref="Q21:S21"/>
    <mergeCell ref="C22:D22"/>
    <mergeCell ref="E22:K22"/>
    <mergeCell ref="N22:P22"/>
    <mergeCell ref="Q22:S22"/>
    <mergeCell ref="C18:I18"/>
    <mergeCell ref="P18:S18"/>
    <mergeCell ref="C20:D20"/>
    <mergeCell ref="E20:K20"/>
    <mergeCell ref="L20:M20"/>
    <mergeCell ref="N20:P20"/>
    <mergeCell ref="Q20:S20"/>
    <mergeCell ref="C15:I15"/>
    <mergeCell ref="P15:S15"/>
    <mergeCell ref="C16:I16"/>
    <mergeCell ref="P16:S16"/>
    <mergeCell ref="C17:I17"/>
    <mergeCell ref="P17:S17"/>
    <mergeCell ref="B2:I3"/>
    <mergeCell ref="B4:I4"/>
    <mergeCell ref="B5:I5"/>
    <mergeCell ref="P13:S13"/>
    <mergeCell ref="P14:S14"/>
  </mergeCells>
  <hyperlinks>
    <hyperlink ref="C11" r:id="rId1" xr:uid="{22C237E0-C299-41D1-A54E-1D9B95549DF4}"/>
    <hyperlink ref="B10" r:id="rId2" display="E-mail: haluan.group@yahoo.co.id" xr:uid="{E3F54271-07EB-49D1-8125-9C56B296A821}"/>
    <hyperlink ref="C10" r:id="rId3" xr:uid="{FC346992-FC11-4883-AC81-494DCFE7CEDE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Development</dc:creator>
  <cp:lastModifiedBy>IT Development</cp:lastModifiedBy>
  <dcterms:created xsi:type="dcterms:W3CDTF">2026-02-06T13:42:32Z</dcterms:created>
  <dcterms:modified xsi:type="dcterms:W3CDTF">2026-02-06T13:45:07Z</dcterms:modified>
</cp:coreProperties>
</file>